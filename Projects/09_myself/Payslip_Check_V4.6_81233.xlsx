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_myfolders\01_Tools\03_github\danielnguyen12a115\git\tianangnho.github.io\Projects\09_myself\"/>
    </mc:Choice>
  </mc:AlternateContent>
  <xr:revisionPtr revIDLastSave="0" documentId="13_ncr:1_{97B9602D-B8A7-4313-8540-D40CA7D13885}" xr6:coauthVersionLast="47" xr6:coauthVersionMax="47" xr10:uidLastSave="{00000000-0000-0000-0000-000000000000}"/>
  <bookViews>
    <workbookView xWindow="22932" yWindow="-108" windowWidth="23256" windowHeight="12456" tabRatio="554" firstSheet="1" activeTab="1" xr2:uid="{00000000-000D-0000-FFFF-FFFF00000000}"/>
  </bookViews>
  <sheets>
    <sheet name="Tax rate" sheetId="3" r:id="rId1"/>
    <sheet name="Payslip" sheetId="1" r:id="rId2"/>
    <sheet name="Tax Calculation" sheetId="2" r:id="rId3"/>
  </sheets>
  <calcPr calcId="191028"/>
  <customWorkbookViews>
    <customWorkbookView name="NT Lieu - Personal View" guid="{1CEA91A9-EFDF-46F1-8895-1A7264D75F30}" mergeInterval="0" personalView="1" maximized="1" windowWidth="1276" windowHeight="80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H13" i="2" l="1"/>
  <c r="F25" i="1" l="1"/>
  <c r="E13" i="1" l="1"/>
  <c r="E18" i="1" s="1"/>
  <c r="F12" i="1"/>
  <c r="F18" i="1" l="1"/>
  <c r="I13" i="2" s="1"/>
  <c r="F29" i="1"/>
  <c r="F13" i="1"/>
  <c r="O13" i="2"/>
  <c r="N13" i="2"/>
  <c r="U13" i="2" s="1"/>
  <c r="F24" i="1"/>
  <c r="F23" i="1"/>
  <c r="F22" i="1"/>
  <c r="F21" i="1"/>
  <c r="F20" i="1"/>
  <c r="L13" i="2"/>
  <c r="F11" i="1"/>
  <c r="F15" i="1" l="1"/>
  <c r="F13" i="2"/>
  <c r="K13" i="2"/>
  <c r="P13" i="2"/>
  <c r="J13" i="2"/>
  <c r="Q13" i="2" s="1"/>
  <c r="E13" i="2" l="1"/>
  <c r="M13" i="2"/>
  <c r="W13" i="2" l="1"/>
  <c r="X13" i="2" s="1"/>
  <c r="F35" i="1" s="1"/>
  <c r="F36" i="1" s="1"/>
  <c r="F38" i="1" l="1"/>
  <c r="F44" i="1" s="1"/>
  <c r="H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Lieu Thi. Nguyen</author>
    <author>NT Lieu</author>
  </authors>
  <commentList>
    <comment ref="I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Input Annual STI payment after proration factor percentage</t>
        </r>
        <r>
          <rPr>
            <sz val="9"/>
            <color indexed="81"/>
            <rFont val="Tahoma"/>
            <family val="2"/>
          </rPr>
          <t xml:space="preserve">
(BONUS PAYSLIP)</t>
        </r>
      </text>
    </comment>
    <comment ref="I7" authorId="0" shapeId="0" xr:uid="{3A462584-8E78-4178-97CA-30E7458B7FFF}">
      <text>
        <r>
          <rPr>
            <b/>
            <sz val="9"/>
            <color indexed="81"/>
            <rFont val="Tahoma"/>
            <family val="2"/>
          </rPr>
          <t>Input mid-year STI pay-out payment</t>
        </r>
        <r>
          <rPr>
            <sz val="9"/>
            <color indexed="81"/>
            <rFont val="Tahoma"/>
            <family val="2"/>
          </rPr>
          <t xml:space="preserve">
(BONUS PAYSLIP)</t>
        </r>
      </text>
    </comment>
    <comment ref="D13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NT Lieu:</t>
        </r>
        <r>
          <rPr>
            <sz val="8"/>
            <color indexed="81"/>
            <rFont val="Tahoma"/>
            <family val="2"/>
          </rPr>
          <t xml:space="preserve">
Key your Master allowance here.
1,000,000 VND from 1-Jan-2018</t>
        </r>
      </text>
    </comment>
    <comment ref="D18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NT Lieu:</t>
        </r>
        <r>
          <rPr>
            <sz val="8"/>
            <color indexed="81"/>
            <rFont val="Tahoma"/>
            <family val="2"/>
          </rPr>
          <t xml:space="preserve">
Count number of days WFH or WAH
</t>
        </r>
      </text>
    </comment>
    <comment ref="E20" authorId="1" shapeId="0" xr:uid="{00000000-0006-0000-0100-000004000000}">
      <text>
        <r>
          <rPr>
            <b/>
            <sz val="8"/>
            <color indexed="81"/>
            <rFont val="Tahoma"/>
            <family val="2"/>
          </rPr>
          <t>NT Lieu:</t>
        </r>
        <r>
          <rPr>
            <sz val="8"/>
            <color indexed="81"/>
            <rFont val="Tahoma"/>
            <family val="2"/>
          </rPr>
          <t xml:space="preserve">
Key your OT result from Monthly Attendance Record (SILK PORTAL)</t>
        </r>
      </text>
    </comment>
    <comment ref="E29" authorId="1" shapeId="0" xr:uid="{00000000-0006-0000-0100-000005000000}">
      <text>
        <r>
          <rPr>
            <b/>
            <sz val="8"/>
            <color indexed="81"/>
            <rFont val="Tahoma"/>
            <family val="2"/>
          </rPr>
          <t>NT Lieu:</t>
        </r>
        <r>
          <rPr>
            <sz val="8"/>
            <color indexed="81"/>
            <rFont val="Tahoma"/>
            <family val="2"/>
          </rPr>
          <t xml:space="preserve">
Key your Late-in/Early-out result from Monthly Attendance Record (SILK PORTAL)</t>
        </r>
      </text>
    </comment>
    <comment ref="F4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 put Net take home amount from STI payment</t>
        </r>
        <r>
          <rPr>
            <sz val="9"/>
            <color indexed="81"/>
            <rFont val="Tahoma"/>
            <family val="2"/>
          </rPr>
          <t xml:space="preserve">
(BONUS PAYSLIP)</t>
        </r>
      </text>
    </comment>
    <comment ref="F42" authorId="1" shapeId="0" xr:uid="{00000000-0006-0000-0100-000007000000}">
      <text>
        <r>
          <rPr>
            <b/>
            <sz val="8"/>
            <color indexed="81"/>
            <rFont val="Tahoma"/>
            <family val="2"/>
          </rPr>
          <t>NT Lieu:</t>
        </r>
        <r>
          <rPr>
            <sz val="8"/>
            <color indexed="81"/>
            <rFont val="Tahoma"/>
            <family val="2"/>
          </rPr>
          <t xml:space="preserve">
Key in 40.000đ if you are RVC TU member</t>
        </r>
      </text>
    </comment>
  </commentList>
</comments>
</file>

<file path=xl/sharedStrings.xml><?xml version="1.0" encoding="utf-8"?>
<sst xmlns="http://schemas.openxmlformats.org/spreadsheetml/2006/main" count="144" uniqueCount="126">
  <si>
    <t>Bậc thuế</t>
  </si>
  <si>
    <t>Phần thu nhập tính thuế/năm</t>
  </si>
  <si>
    <t>Phần thu nhập tính thuế/tháng</t>
  </si>
  <si>
    <t>Thuế suất (%)</t>
  </si>
  <si>
    <t>(triệu đồng)</t>
  </si>
  <si>
    <t xml:space="preserve">Đến 60 </t>
  </si>
  <si>
    <t>Đến 5</t>
  </si>
  <si>
    <t>Trên 60 đến 120</t>
  </si>
  <si>
    <t>Trên 5 đến 10</t>
  </si>
  <si>
    <t xml:space="preserve">Trên 120 đến 216  </t>
  </si>
  <si>
    <t>Trên 10 đến 18</t>
  </si>
  <si>
    <t xml:space="preserve">Trên 216 đến 384 </t>
  </si>
  <si>
    <t>Trên 18 đến 32</t>
  </si>
  <si>
    <t xml:space="preserve">Trên 384 đến 624 </t>
  </si>
  <si>
    <t>Trên 32 đến 52</t>
  </si>
  <si>
    <t xml:space="preserve">Trên 624 đến 960 </t>
  </si>
  <si>
    <t>Trên 52 đến 80</t>
  </si>
  <si>
    <t>Trên 960</t>
  </si>
  <si>
    <t>Trên 80</t>
  </si>
  <si>
    <t>Renesas Design Vietnam Co., Ltd.</t>
  </si>
  <si>
    <t>Employee Pay Slip Checking</t>
    <phoneticPr fontId="2" type="noConversion"/>
  </si>
  <si>
    <t>Your registered family dependants:</t>
  </si>
  <si>
    <t>person</t>
  </si>
  <si>
    <t>STI income if any:</t>
  </si>
  <si>
    <t>VND</t>
  </si>
  <si>
    <t>SPECIAL BONUS, TOEIC, ONE-TIME income if any:</t>
  </si>
  <si>
    <t>TRAINING ALLOWANCE income if any:</t>
  </si>
  <si>
    <t>Days</t>
  </si>
  <si>
    <t>Amount</t>
  </si>
  <si>
    <t>Ø</t>
  </si>
  <si>
    <t>Current Basic Salary :</t>
    <phoneticPr fontId="2" type="noConversion"/>
  </si>
  <si>
    <t>Previous Basic Salary</t>
    <phoneticPr fontId="2" type="noConversion"/>
  </si>
  <si>
    <t>Master Allowance:</t>
  </si>
  <si>
    <t>Your Gross income this month :</t>
  </si>
  <si>
    <t>Add allowance :</t>
  </si>
  <si>
    <t>WAH</t>
  </si>
  <si>
    <t xml:space="preserve">  * Commuting allowance (w/o WFH):</t>
  </si>
  <si>
    <t xml:space="preserve">  * Overtime allowance, in which:</t>
  </si>
  <si>
    <t>Rate</t>
  </si>
  <si>
    <t>Hours</t>
  </si>
  <si>
    <t xml:space="preserve">     - Working day </t>
  </si>
  <si>
    <t xml:space="preserve">     - Working night</t>
  </si>
  <si>
    <t xml:space="preserve">     - Day off / Holiday </t>
  </si>
  <si>
    <t xml:space="preserve">     - Night off/ Holiday night</t>
  </si>
  <si>
    <t xml:space="preserve">     - National day</t>
  </si>
  <si>
    <t xml:space="preserve">     - National night</t>
  </si>
  <si>
    <t>Adjustment before tax</t>
  </si>
  <si>
    <t>Deduction due to Late-in/Early-out/Absence</t>
    <phoneticPr fontId="2" type="noConversion"/>
  </si>
  <si>
    <t>Less obligation on:</t>
  </si>
  <si>
    <t>* Social Insurance (8% salary)</t>
  </si>
  <si>
    <t>* Health Insurance (1.5% salary)</t>
    <phoneticPr fontId="2" type="noConversion"/>
  </si>
  <si>
    <t>* Unemployment Insurance (1% salary)</t>
    <phoneticPr fontId="2" type="noConversion"/>
  </si>
  <si>
    <t xml:space="preserve">* Personal Income Tax  </t>
    <phoneticPr fontId="2" type="noConversion"/>
  </si>
  <si>
    <t>(*)</t>
  </si>
  <si>
    <t>Temporary retained personal income tax (PIT) payable amount. This amount will be refund in Mar salary payment</t>
  </si>
  <si>
    <t>(See the calculation detail in "Tax Calculation" sheet)</t>
    <phoneticPr fontId="2" type="noConversion"/>
  </si>
  <si>
    <t>Net Income this month:</t>
  </si>
  <si>
    <t>Less STI payment on 19-Mar</t>
  </si>
  <si>
    <t>Less Union Fee:</t>
  </si>
  <si>
    <t>Total Net Income this month:</t>
  </si>
  <si>
    <t>Prepared by: NT Lieu</t>
    <phoneticPr fontId="2" type="noConversion"/>
  </si>
  <si>
    <t>Version: 4.3</t>
  </si>
  <si>
    <t>01/07/2017 (update Minimum basic salary from 1,210,000 dong --&gt; 1,300,000 dong)</t>
  </si>
  <si>
    <t>15/09/2017 (Modify Gross income formula)</t>
  </si>
  <si>
    <t>01/01/2018 (Modify Unemployment insurance formula from 3,100,000 --&gt; 3,980,000)
                 (Modify Obligation Insurance includes Master Allowance if any)</t>
  </si>
  <si>
    <t>01/07/2018 (update Minimum basic salary from 1,300,000 dong --&gt; 1,390,000 dong)</t>
  </si>
  <si>
    <t>01/01/2019 (update Unemployment insurance formula from 3,980,000 --&gt; 4,180,000)</t>
  </si>
  <si>
    <t>01/07/2019 (update Minimum basic salary from 1,390,000 dong --&gt; 1,490,000 dong)</t>
  </si>
  <si>
    <t>4.0</t>
  </si>
  <si>
    <t>01/07/2019 Remove Extra OT formula</t>
  </si>
  <si>
    <t>4.1</t>
  </si>
  <si>
    <t>01/01/2020 (Modify Unemployment insurance formula from 4,180,000 --&gt; 4,420,000)</t>
  </si>
  <si>
    <t>4.2</t>
  </si>
  <si>
    <t>28/05/2020 (Modify fomular calculate Commuting Allowance count of WFH)</t>
  </si>
  <si>
    <t>4.3</t>
  </si>
  <si>
    <t>31/07/2020 (Modify PIT family relief from July 2020: increased to VND 11 Million/month/taxpayer and VND 4.4 Million/month/dependent)</t>
  </si>
  <si>
    <t>4.4</t>
  </si>
  <si>
    <t>11/09/2020 (Modify STI rate at 0.58)</t>
  </si>
  <si>
    <t>BẢNG CHI TIẾT SỐ THUẾ THU NHẬP CỦA CÁ NHÂN NGƯỜI LAO ĐỘNG</t>
  </si>
  <si>
    <t>THÁNG  - NĂM 2009</t>
  </si>
  <si>
    <t>[01] Mã số thuế cơ quan chi trả thu nhập:</t>
  </si>
  <si>
    <t>[02] Tên cơ quan chi trả thu nhập:</t>
  </si>
  <si>
    <t>STT</t>
  </si>
  <si>
    <t>ID Code</t>
  </si>
  <si>
    <t>Họ và tên cá nhân</t>
  </si>
  <si>
    <t>Mã số thuế cá nhân</t>
  </si>
  <si>
    <t>Tổng thu nhập</t>
  </si>
  <si>
    <t>Trừ thu nhập được miễn thuế &amp; các khỏan phải nộp, được giảm trừ khác</t>
  </si>
  <si>
    <t>Thu nhập
tính thuế</t>
  </si>
  <si>
    <t>Thuế TNCN phải nộp</t>
  </si>
  <si>
    <t>Ghi chú</t>
  </si>
  <si>
    <t>Tổng số</t>
  </si>
  <si>
    <t>Trong đó</t>
  </si>
  <si>
    <r>
      <t>S</t>
    </r>
    <r>
      <rPr>
        <sz val="10"/>
        <rFont val="Arial"/>
        <family val="2"/>
      </rPr>
      <t>ố</t>
    </r>
    <r>
      <rPr>
        <sz val="10"/>
        <rFont val="Arial"/>
        <family val="2"/>
      </rPr>
      <t xml:space="preserve"> người đăng ký phụ thuộc Giảm trừ gia cảnh</t>
    </r>
    <phoneticPr fontId="2" type="noConversion"/>
  </si>
  <si>
    <t>Tiền tăng ca, thêm giờ phải đóng thuế</t>
  </si>
  <si>
    <t>Tiền đóng BHXH, BHYT, BHTN theo quy định</t>
  </si>
  <si>
    <t>Tiền chênh lệch tăng ca, thêm giờ</t>
  </si>
  <si>
    <t>Tiền chênh lệch tăng ca, thêm giờ (May Adjustment)</t>
  </si>
  <si>
    <t>Tiền bồi thường tai nạn lao động</t>
  </si>
  <si>
    <t>Tiền lương, trợ cấp do BHXH chi trả</t>
  </si>
  <si>
    <t>Giảm trừ gia cảnh</t>
  </si>
  <si>
    <t>Trừ các khỏan đóng góp vào quỹ từ thiện, khuyến học</t>
  </si>
  <si>
    <t>Lương</t>
  </si>
  <si>
    <t>Bonus &amp; Others income</t>
  </si>
  <si>
    <t>Tiền trợ cấp đi lại</t>
  </si>
  <si>
    <t>OT</t>
  </si>
  <si>
    <t>Trừ tiền đi trễ về sớm</t>
  </si>
  <si>
    <t>Khác</t>
  </si>
  <si>
    <t>(1)</t>
  </si>
  <si>
    <t>(2)</t>
  </si>
  <si>
    <t>(3)</t>
  </si>
  <si>
    <t>(4)=(5)+…+(9)</t>
  </si>
  <si>
    <t>(5)</t>
  </si>
  <si>
    <t>(6)</t>
  </si>
  <si>
    <t>(7)</t>
  </si>
  <si>
    <t>(8)</t>
  </si>
  <si>
    <t>(9)</t>
  </si>
  <si>
    <t>(10)=(11)+…+(16)</t>
  </si>
  <si>
    <t>(11)</t>
  </si>
  <si>
    <t>(12)</t>
  </si>
  <si>
    <t>(13)</t>
  </si>
  <si>
    <t>(14)</t>
  </si>
  <si>
    <t>(15)</t>
  </si>
  <si>
    <t>(16)</t>
  </si>
  <si>
    <t>(17)=(4)-(10)</t>
  </si>
  <si>
    <t>(18)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</si>
</sst>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#,##0.0"/>
    <numFmt numFmtId="167" formatCode="_(* #,##0_);_(* \(#,##0\);_(* \-_);_(@_)"/>
  </numFmts>
  <fonts count="28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i/>
      <sz val="12"/>
      <name val="Times New Roman"/>
      <family val="1"/>
    </font>
    <font>
      <sz val="11"/>
      <color indexed="12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sz val="12"/>
      <name val="Wingdings"/>
      <charset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color indexed="12"/>
      <name val="Times New Roman"/>
      <family val="1"/>
    </font>
    <font>
      <sz val="11"/>
      <color indexed="14"/>
      <name val="Times New Roman"/>
      <family val="1"/>
    </font>
    <font>
      <sz val="14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Times New Roman"/>
      <family val="1"/>
    </font>
    <font>
      <i/>
      <sz val="10"/>
      <color rgb="FF0000FF"/>
      <name val="Times New Roman"/>
      <family val="1"/>
    </font>
    <font>
      <sz val="12"/>
      <color rgb="FF0000FF"/>
      <name val="Times New Roman"/>
      <family val="1"/>
    </font>
    <font>
      <b/>
      <sz val="14"/>
      <color rgb="FF000099"/>
      <name val="Times New Roman"/>
      <family val="1"/>
    </font>
    <font>
      <b/>
      <sz val="12"/>
      <color rgb="FFFF0000"/>
      <name val="Times New Roman"/>
      <family val="1"/>
    </font>
    <font>
      <i/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9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/>
  </cellStyleXfs>
  <cellXfs count="11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3"/>
    <xf numFmtId="0" fontId="1" fillId="0" borderId="0" xfId="2"/>
    <xf numFmtId="0" fontId="1" fillId="0" borderId="0" xfId="2" applyAlignment="1">
      <alignment vertical="center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3" fillId="0" borderId="0" xfId="2" applyFont="1" applyAlignment="1">
      <alignment horizontal="center"/>
    </xf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/>
    </xf>
    <xf numFmtId="0" fontId="1" fillId="2" borderId="3" xfId="2" applyFill="1" applyBorder="1" applyAlignment="1">
      <alignment horizontal="center" vertical="center"/>
    </xf>
    <xf numFmtId="0" fontId="1" fillId="2" borderId="4" xfId="2" applyFill="1" applyBorder="1" applyAlignment="1">
      <alignment horizontal="center" vertical="center"/>
    </xf>
    <xf numFmtId="49" fontId="13" fillId="0" borderId="1" xfId="2" applyNumberFormat="1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49" fontId="13" fillId="0" borderId="6" xfId="2" applyNumberFormat="1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quotePrefix="1" applyFont="1" applyFill="1" applyAlignment="1">
      <alignment horizontal="left" vertical="center"/>
    </xf>
    <xf numFmtId="17" fontId="6" fillId="3" borderId="0" xfId="0" quotePrefix="1" applyNumberFormat="1" applyFont="1" applyFill="1" applyAlignment="1">
      <alignment horizontal="left" vertical="center"/>
    </xf>
    <xf numFmtId="17" fontId="6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3" fontId="6" fillId="3" borderId="1" xfId="0" applyNumberFormat="1" applyFont="1" applyFill="1" applyBorder="1" applyAlignment="1">
      <alignment vertical="center"/>
    </xf>
    <xf numFmtId="0" fontId="9" fillId="3" borderId="0" xfId="0" applyFont="1" applyFill="1" applyAlignment="1">
      <alignment horizontal="left" vertical="center" indent="1"/>
    </xf>
    <xf numFmtId="39" fontId="6" fillId="3" borderId="0" xfId="0" applyNumberFormat="1" applyFont="1" applyFill="1" applyAlignment="1">
      <alignment vertical="center"/>
    </xf>
    <xf numFmtId="3" fontId="6" fillId="3" borderId="0" xfId="0" applyNumberFormat="1" applyFont="1" applyFill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39" fontId="6" fillId="3" borderId="1" xfId="0" applyNumberFormat="1" applyFont="1" applyFill="1" applyBorder="1" applyAlignment="1">
      <alignment vertical="center"/>
    </xf>
    <xf numFmtId="37" fontId="6" fillId="3" borderId="1" xfId="0" applyNumberFormat="1" applyFont="1" applyFill="1" applyBorder="1" applyAlignment="1">
      <alignment vertical="center"/>
    </xf>
    <xf numFmtId="0" fontId="6" fillId="3" borderId="0" xfId="0" applyFont="1" applyFill="1" applyAlignment="1">
      <alignment horizontal="left" vertical="center" indent="1"/>
    </xf>
    <xf numFmtId="165" fontId="6" fillId="3" borderId="0" xfId="0" applyNumberFormat="1" applyFont="1" applyFill="1" applyAlignment="1">
      <alignment vertical="center"/>
    </xf>
    <xf numFmtId="37" fontId="6" fillId="3" borderId="0" xfId="0" applyNumberFormat="1" applyFont="1" applyFill="1" applyAlignment="1">
      <alignment vertical="center"/>
    </xf>
    <xf numFmtId="37" fontId="6" fillId="3" borderId="7" xfId="0" applyNumberFormat="1" applyFont="1" applyFill="1" applyBorder="1" applyAlignment="1">
      <alignment vertical="center"/>
    </xf>
    <xf numFmtId="0" fontId="6" fillId="3" borderId="0" xfId="0" quotePrefix="1" applyFont="1" applyFill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8" fillId="3" borderId="11" xfId="0" applyFont="1" applyFill="1" applyBorder="1" applyAlignment="1">
      <alignment horizontal="right" vertical="center"/>
    </xf>
    <xf numFmtId="0" fontId="3" fillId="3" borderId="13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3" fontId="14" fillId="3" borderId="0" xfId="0" applyNumberFormat="1" applyFont="1" applyFill="1" applyAlignment="1">
      <alignment vertical="center"/>
    </xf>
    <xf numFmtId="0" fontId="10" fillId="3" borderId="16" xfId="3" applyFill="1" applyBorder="1" applyAlignment="1">
      <alignment horizontal="center"/>
    </xf>
    <xf numFmtId="164" fontId="10" fillId="3" borderId="17" xfId="1" applyNumberFormat="1" applyFont="1" applyFill="1" applyBorder="1"/>
    <xf numFmtId="164" fontId="10" fillId="3" borderId="16" xfId="3" applyNumberFormat="1" applyFill="1" applyBorder="1"/>
    <xf numFmtId="164" fontId="12" fillId="3" borderId="17" xfId="1" applyNumberFormat="1" applyFont="1" applyFill="1" applyBorder="1"/>
    <xf numFmtId="164" fontId="12" fillId="3" borderId="16" xfId="1" applyNumberFormat="1" applyFont="1" applyFill="1" applyBorder="1"/>
    <xf numFmtId="164" fontId="10" fillId="3" borderId="16" xfId="1" applyNumberFormat="1" applyFont="1" applyFill="1" applyBorder="1"/>
    <xf numFmtId="0" fontId="10" fillId="3" borderId="16" xfId="3" applyFill="1" applyBorder="1"/>
    <xf numFmtId="0" fontId="17" fillId="3" borderId="0" xfId="0" quotePrefix="1" applyFont="1" applyFill="1" applyAlignment="1">
      <alignment horizontal="left" vertical="center" indent="1"/>
    </xf>
    <xf numFmtId="0" fontId="6" fillId="3" borderId="0" xfId="0" applyFont="1" applyFill="1" applyAlignment="1" applyProtection="1">
      <alignment vertical="center"/>
      <protection locked="0"/>
    </xf>
    <xf numFmtId="0" fontId="10" fillId="4" borderId="0" xfId="3" applyFill="1"/>
    <xf numFmtId="0" fontId="10" fillId="4" borderId="0" xfId="3" applyFill="1" applyAlignment="1">
      <alignment horizontal="center"/>
    </xf>
    <xf numFmtId="164" fontId="10" fillId="4" borderId="0" xfId="1" applyNumberFormat="1" applyFont="1" applyFill="1"/>
    <xf numFmtId="0" fontId="18" fillId="0" borderId="0" xfId="0" applyFont="1" applyAlignment="1">
      <alignment vertical="center"/>
    </xf>
    <xf numFmtId="167" fontId="6" fillId="5" borderId="0" xfId="0" applyNumberFormat="1" applyFont="1" applyFill="1" applyAlignment="1">
      <alignment vertic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justify" vertical="top"/>
    </xf>
    <xf numFmtId="0" fontId="0" fillId="2" borderId="1" xfId="2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6" fillId="0" borderId="0" xfId="0" quotePrefix="1" applyFont="1" applyAlignment="1">
      <alignment vertical="center"/>
    </xf>
    <xf numFmtId="164" fontId="10" fillId="4" borderId="0" xfId="3" applyNumberFormat="1" applyFill="1"/>
    <xf numFmtId="164" fontId="6" fillId="0" borderId="0" xfId="1" applyNumberFormat="1" applyFont="1" applyBorder="1" applyAlignment="1">
      <alignment vertical="center"/>
    </xf>
    <xf numFmtId="3" fontId="22" fillId="8" borderId="1" xfId="0" applyNumberFormat="1" applyFont="1" applyFill="1" applyBorder="1" applyAlignment="1">
      <alignment vertical="center"/>
    </xf>
    <xf numFmtId="3" fontId="26" fillId="8" borderId="1" xfId="0" applyNumberFormat="1" applyFont="1" applyFill="1" applyBorder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3" fontId="22" fillId="8" borderId="1" xfId="0" applyNumberFormat="1" applyFont="1" applyFill="1" applyBorder="1" applyAlignment="1" applyProtection="1">
      <alignment vertical="center"/>
      <protection locked="0"/>
    </xf>
    <xf numFmtId="166" fontId="22" fillId="8" borderId="1" xfId="0" applyNumberFormat="1" applyFont="1" applyFill="1" applyBorder="1" applyAlignment="1" applyProtection="1">
      <alignment vertical="center"/>
      <protection locked="0"/>
    </xf>
    <xf numFmtId="165" fontId="22" fillId="8" borderId="1" xfId="0" applyNumberFormat="1" applyFont="1" applyFill="1" applyBorder="1" applyAlignment="1" applyProtection="1">
      <alignment vertical="center"/>
      <protection locked="0"/>
    </xf>
    <xf numFmtId="39" fontId="22" fillId="8" borderId="1" xfId="0" applyNumberFormat="1" applyFont="1" applyFill="1" applyBorder="1" applyAlignment="1" applyProtection="1">
      <alignment vertical="center"/>
      <protection locked="0"/>
    </xf>
    <xf numFmtId="16" fontId="3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1" fillId="2" borderId="2" xfId="2" applyFill="1" applyBorder="1" applyAlignment="1">
      <alignment horizontal="center" vertical="center" wrapText="1"/>
    </xf>
    <xf numFmtId="0" fontId="1" fillId="2" borderId="18" xfId="2" applyFill="1" applyBorder="1" applyAlignment="1">
      <alignment horizontal="center" vertical="center" wrapText="1"/>
    </xf>
    <xf numFmtId="0" fontId="13" fillId="2" borderId="2" xfId="2" applyFont="1" applyFill="1" applyBorder="1" applyAlignment="1">
      <alignment horizontal="center" vertical="center" wrapText="1"/>
    </xf>
    <xf numFmtId="0" fontId="13" fillId="2" borderId="19" xfId="2" applyFont="1" applyFill="1" applyBorder="1" applyAlignment="1">
      <alignment horizontal="center" vertical="center" wrapText="1"/>
    </xf>
    <xf numFmtId="0" fontId="1" fillId="2" borderId="1" xfId="2" applyFill="1" applyBorder="1" applyAlignment="1">
      <alignment horizontal="center" vertical="center" wrapText="1"/>
    </xf>
    <xf numFmtId="0" fontId="1" fillId="7" borderId="2" xfId="2" applyFill="1" applyBorder="1" applyAlignment="1">
      <alignment horizontal="center" vertical="center" wrapText="1"/>
    </xf>
    <xf numFmtId="0" fontId="1" fillId="7" borderId="18" xfId="2" applyFill="1" applyBorder="1" applyAlignment="1">
      <alignment horizontal="center" vertical="center" wrapText="1"/>
    </xf>
    <xf numFmtId="0" fontId="1" fillId="7" borderId="21" xfId="2" applyFill="1" applyBorder="1" applyAlignment="1">
      <alignment horizontal="center" vertical="center" wrapText="1"/>
    </xf>
    <xf numFmtId="0" fontId="13" fillId="6" borderId="1" xfId="2" applyFont="1" applyFill="1" applyBorder="1" applyAlignment="1">
      <alignment horizontal="center" vertical="center" wrapText="1"/>
    </xf>
    <xf numFmtId="0" fontId="1" fillId="6" borderId="2" xfId="2" applyFill="1" applyBorder="1" applyAlignment="1">
      <alignment horizontal="center" vertical="center" wrapText="1"/>
    </xf>
    <xf numFmtId="0" fontId="1" fillId="6" borderId="21" xfId="2" applyFill="1" applyBorder="1" applyAlignment="1">
      <alignment horizontal="center" vertical="center" wrapText="1"/>
    </xf>
    <xf numFmtId="0" fontId="1" fillId="2" borderId="4" xfId="2" applyFill="1" applyBorder="1" applyAlignment="1">
      <alignment horizontal="center" vertical="center" wrapText="1"/>
    </xf>
    <xf numFmtId="0" fontId="1" fillId="2" borderId="22" xfId="2" applyFill="1" applyBorder="1" applyAlignment="1">
      <alignment horizontal="center" vertical="center" wrapText="1"/>
    </xf>
    <xf numFmtId="0" fontId="1" fillId="6" borderId="1" xfId="2" applyFill="1" applyBorder="1" applyAlignment="1">
      <alignment horizontal="center" vertical="center" wrapText="1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12" fillId="0" borderId="0" xfId="2" applyFont="1" applyAlignment="1">
      <alignment horizontal="justify" vertical="center" wrapText="1"/>
    </xf>
    <xf numFmtId="0" fontId="1" fillId="2" borderId="19" xfId="2" applyFill="1" applyBorder="1" applyAlignment="1">
      <alignment horizontal="center" vertical="center" wrapText="1"/>
    </xf>
    <xf numFmtId="0" fontId="1" fillId="6" borderId="5" xfId="2" applyFill="1" applyBorder="1" applyAlignment="1">
      <alignment horizontal="center" vertical="center" wrapText="1"/>
    </xf>
    <xf numFmtId="0" fontId="1" fillId="6" borderId="20" xfId="2" applyFill="1" applyBorder="1" applyAlignment="1">
      <alignment horizontal="center" vertical="center" wrapText="1"/>
    </xf>
    <xf numFmtId="0" fontId="1" fillId="6" borderId="6" xfId="2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_11" xfId="2" xr:uid="{00000000-0005-0000-0000-000002000000}"/>
    <cellStyle name="Normal_Mau bieu tinh thue TNCN nam 2009v2" xfId="3" xr:uid="{00000000-0005-0000-0000-000003000000}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617220</xdr:colOff>
      <xdr:row>42</xdr:row>
      <xdr:rowOff>83820</xdr:rowOff>
    </xdr:from>
    <xdr:to>
      <xdr:col>6</xdr:col>
      <xdr:colOff>0</xdr:colOff>
      <xdr:row>42</xdr:row>
      <xdr:rowOff>83820</xdr:rowOff>
    </xdr:to>
    <xdr:sp macro="" textlink="">
      <xdr:nvSpPr>
        <xdr:cNvPr id="1117" name="Line 2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>
          <a:spLocks noChangeShapeType="1"/>
        </xdr:cNvSpPr>
      </xdr:nvSpPr>
      <xdr:spPr bwMode="auto">
        <a:xfrm>
          <a:off x="4572000" y="10020300"/>
          <a:ext cx="1348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388620</xdr:colOff>
      <xdr:row>0</xdr:row>
      <xdr:rowOff>76200</xdr:rowOff>
    </xdr:from>
    <xdr:to>
      <xdr:col>6</xdr:col>
      <xdr:colOff>520700</xdr:colOff>
      <xdr:row>1</xdr:row>
      <xdr:rowOff>91440</xdr:rowOff>
    </xdr:to>
    <xdr:pic>
      <xdr:nvPicPr>
        <xdr:cNvPr id="1118" name="Picture 1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76200"/>
          <a:ext cx="1470660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workbookViewId="0">
      <selection activeCell="B30" sqref="B30"/>
    </sheetView>
  </sheetViews>
  <sheetFormatPr defaultColWidth="9.1796875" defaultRowHeight="12.5" x14ac:dyDescent="0.25"/>
  <cols>
    <col min="1" max="1" width="10.54296875" bestFit="1" customWidth="1"/>
    <col min="2" max="2" width="32.26953125" bestFit="1" customWidth="1"/>
    <col min="3" max="3" width="16.81640625" customWidth="1"/>
    <col min="4" max="4" width="16.54296875" bestFit="1" customWidth="1"/>
  </cols>
  <sheetData>
    <row r="2" spans="1:4" ht="18" x14ac:dyDescent="0.4">
      <c r="A2" s="64" t="s">
        <v>0</v>
      </c>
      <c r="B2" s="64" t="s">
        <v>1</v>
      </c>
      <c r="C2" s="64" t="s">
        <v>2</v>
      </c>
      <c r="D2" s="64" t="s">
        <v>3</v>
      </c>
    </row>
    <row r="3" spans="1:4" ht="18" x14ac:dyDescent="0.4">
      <c r="A3" s="64"/>
      <c r="B3" s="64" t="s">
        <v>4</v>
      </c>
      <c r="C3" s="64" t="s">
        <v>4</v>
      </c>
      <c r="D3" s="64"/>
    </row>
    <row r="4" spans="1:4" ht="18" x14ac:dyDescent="0.25">
      <c r="A4" s="65">
        <v>1</v>
      </c>
      <c r="B4" s="66" t="s">
        <v>5</v>
      </c>
      <c r="C4" s="66" t="s">
        <v>6</v>
      </c>
      <c r="D4" s="65">
        <v>5</v>
      </c>
    </row>
    <row r="5" spans="1:4" ht="18" x14ac:dyDescent="0.25">
      <c r="A5" s="65">
        <v>2</v>
      </c>
      <c r="B5" s="66" t="s">
        <v>7</v>
      </c>
      <c r="C5" s="66" t="s">
        <v>8</v>
      </c>
      <c r="D5" s="65">
        <v>10</v>
      </c>
    </row>
    <row r="6" spans="1:4" ht="18" x14ac:dyDescent="0.25">
      <c r="A6" s="65">
        <v>3</v>
      </c>
      <c r="B6" s="66" t="s">
        <v>9</v>
      </c>
      <c r="C6" s="66" t="s">
        <v>10</v>
      </c>
      <c r="D6" s="65">
        <v>15</v>
      </c>
    </row>
    <row r="7" spans="1:4" ht="18" x14ac:dyDescent="0.25">
      <c r="A7" s="65">
        <v>4</v>
      </c>
      <c r="B7" s="66" t="s">
        <v>11</v>
      </c>
      <c r="C7" s="66" t="s">
        <v>12</v>
      </c>
      <c r="D7" s="65">
        <v>20</v>
      </c>
    </row>
    <row r="8" spans="1:4" ht="18" x14ac:dyDescent="0.25">
      <c r="A8" s="65">
        <v>5</v>
      </c>
      <c r="B8" s="66" t="s">
        <v>13</v>
      </c>
      <c r="C8" s="66" t="s">
        <v>14</v>
      </c>
      <c r="D8" s="65">
        <v>25</v>
      </c>
    </row>
    <row r="9" spans="1:4" ht="18" x14ac:dyDescent="0.25">
      <c r="A9" s="65">
        <v>6</v>
      </c>
      <c r="B9" s="66" t="s">
        <v>15</v>
      </c>
      <c r="C9" s="66" t="s">
        <v>16</v>
      </c>
      <c r="D9" s="65">
        <v>30</v>
      </c>
    </row>
    <row r="10" spans="1:4" ht="18" x14ac:dyDescent="0.25">
      <c r="A10" s="65">
        <v>7</v>
      </c>
      <c r="B10" s="66" t="s">
        <v>17</v>
      </c>
      <c r="C10" s="66" t="s">
        <v>18</v>
      </c>
      <c r="D10" s="65">
        <v>35</v>
      </c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</sheetPr>
  <dimension ref="A1:K60"/>
  <sheetViews>
    <sheetView showGridLines="0" tabSelected="1" zoomScaleNormal="100" workbookViewId="0">
      <selection activeCell="I7" sqref="I7"/>
    </sheetView>
  </sheetViews>
  <sheetFormatPr defaultColWidth="8.81640625" defaultRowHeight="19.149999999999999" customHeight="1" x14ac:dyDescent="0.25"/>
  <cols>
    <col min="1" max="1" width="4" style="1" customWidth="1"/>
    <col min="2" max="2" width="13.453125" style="1" customWidth="1"/>
    <col min="3" max="3" width="27.81640625" style="1" customWidth="1"/>
    <col min="4" max="4" width="15" style="1" customWidth="1"/>
    <col min="5" max="5" width="9.1796875" style="1" customWidth="1"/>
    <col min="6" max="6" width="19.54296875" style="1" customWidth="1"/>
    <col min="7" max="7" width="8.81640625" style="1" customWidth="1"/>
    <col min="8" max="8" width="11.81640625" style="1" customWidth="1"/>
    <col min="9" max="9" width="24.26953125" style="1" bestFit="1" customWidth="1"/>
    <col min="10" max="10" width="15.81640625" style="1" customWidth="1"/>
    <col min="11" max="11" width="14.54296875" style="1" bestFit="1" customWidth="1"/>
    <col min="12" max="12" width="14" style="1" bestFit="1" customWidth="1"/>
    <col min="13" max="13" width="14.453125" style="1" bestFit="1" customWidth="1"/>
    <col min="14" max="14" width="15.1796875" style="1" bestFit="1" customWidth="1"/>
    <col min="15" max="16384" width="8.81640625" style="1"/>
  </cols>
  <sheetData>
    <row r="1" spans="1:9" ht="19.149999999999999" customHeight="1" thickTop="1" x14ac:dyDescent="0.25">
      <c r="A1" s="38" t="s">
        <v>19</v>
      </c>
      <c r="B1" s="39"/>
      <c r="C1" s="39"/>
      <c r="D1" s="39"/>
      <c r="E1" s="39"/>
      <c r="F1" s="39"/>
      <c r="G1" s="40"/>
    </row>
    <row r="2" spans="1:9" ht="19.149999999999999" customHeight="1" x14ac:dyDescent="0.25">
      <c r="A2" s="41"/>
      <c r="B2" s="20"/>
      <c r="C2" s="20"/>
      <c r="D2" s="20"/>
      <c r="E2" s="20"/>
      <c r="F2" s="20"/>
      <c r="G2" s="42"/>
    </row>
    <row r="3" spans="1:9" ht="19.149999999999999" customHeight="1" x14ac:dyDescent="0.25">
      <c r="A3" s="83" t="s">
        <v>20</v>
      </c>
      <c r="B3" s="84"/>
      <c r="C3" s="84"/>
      <c r="D3" s="84"/>
      <c r="E3" s="84"/>
      <c r="F3" s="84"/>
      <c r="G3" s="85"/>
      <c r="H3" s="2"/>
    </row>
    <row r="4" spans="1:9" s="4" customFormat="1" ht="19.149999999999999" customHeight="1" x14ac:dyDescent="0.25">
      <c r="A4" s="86"/>
      <c r="B4" s="87"/>
      <c r="C4" s="87"/>
      <c r="D4" s="87"/>
      <c r="E4" s="87"/>
      <c r="F4" s="87"/>
      <c r="G4" s="88"/>
      <c r="H4" s="3"/>
    </row>
    <row r="5" spans="1:9" ht="19.149999999999999" customHeight="1" x14ac:dyDescent="0.25">
      <c r="A5" s="41"/>
      <c r="B5" s="21" t="s">
        <v>21</v>
      </c>
      <c r="C5" s="20"/>
      <c r="D5" s="75">
        <v>1</v>
      </c>
      <c r="E5" s="20" t="s">
        <v>22</v>
      </c>
      <c r="F5" s="20"/>
      <c r="G5" s="42"/>
      <c r="H5" s="5"/>
    </row>
    <row r="6" spans="1:9" s="6" customFormat="1" ht="15.65" customHeight="1" x14ac:dyDescent="0.25">
      <c r="A6" s="43"/>
      <c r="B6" s="21" t="s">
        <v>23</v>
      </c>
      <c r="C6" s="22"/>
      <c r="D6" s="21"/>
      <c r="E6" s="21"/>
      <c r="F6" s="26">
        <v>0</v>
      </c>
      <c r="G6" s="44" t="s">
        <v>24</v>
      </c>
      <c r="I6" s="74">
        <v>0</v>
      </c>
    </row>
    <row r="7" spans="1:9" s="6" customFormat="1" ht="15.65" customHeight="1" x14ac:dyDescent="0.25">
      <c r="A7" s="43"/>
      <c r="B7" s="21" t="s">
        <v>25</v>
      </c>
      <c r="C7" s="22"/>
      <c r="D7" s="21"/>
      <c r="E7" s="21"/>
      <c r="F7" s="74"/>
      <c r="G7" s="44" t="s">
        <v>24</v>
      </c>
      <c r="I7" s="74">
        <v>0</v>
      </c>
    </row>
    <row r="8" spans="1:9" s="6" customFormat="1" ht="15.65" customHeight="1" x14ac:dyDescent="0.25">
      <c r="A8" s="43"/>
      <c r="B8" s="21" t="s">
        <v>26</v>
      </c>
      <c r="C8" s="23"/>
      <c r="D8" s="21"/>
      <c r="E8" s="21"/>
      <c r="F8" s="74"/>
      <c r="G8" s="44" t="s">
        <v>24</v>
      </c>
    </row>
    <row r="9" spans="1:9" s="6" customFormat="1" ht="15.65" customHeight="1" x14ac:dyDescent="0.25">
      <c r="A9" s="43"/>
      <c r="B9" s="21"/>
      <c r="C9" s="24"/>
      <c r="D9" s="21"/>
      <c r="E9" s="21"/>
      <c r="F9" s="21"/>
      <c r="G9" s="44"/>
      <c r="I9" s="70"/>
    </row>
    <row r="10" spans="1:9" s="6" customFormat="1" ht="15.65" customHeight="1" x14ac:dyDescent="0.25">
      <c r="A10" s="43"/>
      <c r="B10" s="21"/>
      <c r="C10" s="21"/>
      <c r="D10" s="25" t="s">
        <v>24</v>
      </c>
      <c r="E10" s="25" t="s">
        <v>27</v>
      </c>
      <c r="F10" s="25" t="s">
        <v>28</v>
      </c>
      <c r="G10" s="44"/>
    </row>
    <row r="11" spans="1:9" s="6" customFormat="1" ht="15.65" customHeight="1" x14ac:dyDescent="0.25">
      <c r="A11" s="45" t="s">
        <v>29</v>
      </c>
      <c r="B11" s="21" t="s">
        <v>30</v>
      </c>
      <c r="C11" s="21"/>
      <c r="D11" s="77">
        <v>10000000</v>
      </c>
      <c r="E11" s="78">
        <v>22</v>
      </c>
      <c r="F11" s="26">
        <f>D11*E11/22</f>
        <v>10000000</v>
      </c>
      <c r="G11" s="44"/>
    </row>
    <row r="12" spans="1:9" s="6" customFormat="1" ht="15.65" customHeight="1" x14ac:dyDescent="0.25">
      <c r="A12" s="43"/>
      <c r="B12" s="21" t="s">
        <v>31</v>
      </c>
      <c r="C12" s="21"/>
      <c r="D12" s="77"/>
      <c r="E12" s="78"/>
      <c r="F12" s="26">
        <f>D12*E12/22</f>
        <v>0</v>
      </c>
      <c r="G12" s="44"/>
      <c r="H12" s="5"/>
    </row>
    <row r="13" spans="1:9" s="6" customFormat="1" ht="15.65" customHeight="1" x14ac:dyDescent="0.25">
      <c r="A13" s="43"/>
      <c r="B13" s="21" t="s">
        <v>32</v>
      </c>
      <c r="C13" s="21"/>
      <c r="D13" s="77"/>
      <c r="E13" s="26">
        <f>E11+E12</f>
        <v>22</v>
      </c>
      <c r="F13" s="26">
        <f>D13*E13/22</f>
        <v>0</v>
      </c>
      <c r="G13" s="44"/>
      <c r="H13" s="5"/>
    </row>
    <row r="14" spans="1:9" s="6" customFormat="1" ht="15.65" customHeight="1" x14ac:dyDescent="0.25">
      <c r="A14" s="43"/>
      <c r="B14" s="27"/>
      <c r="C14" s="21"/>
      <c r="D14" s="21"/>
      <c r="E14" s="21"/>
      <c r="F14" s="28"/>
      <c r="G14" s="44"/>
    </row>
    <row r="15" spans="1:9" s="6" customFormat="1" ht="15.65" customHeight="1" x14ac:dyDescent="0.25">
      <c r="A15" s="45"/>
      <c r="B15" s="21" t="s">
        <v>33</v>
      </c>
      <c r="C15" s="21"/>
      <c r="D15" s="21"/>
      <c r="E15" s="58"/>
      <c r="F15" s="29">
        <f>ROUND(SUM(F11:F13),-2)+SUM(F6:F8)</f>
        <v>10000000</v>
      </c>
      <c r="G15" s="44"/>
    </row>
    <row r="16" spans="1:9" s="6" customFormat="1" ht="15.65" customHeight="1" x14ac:dyDescent="0.25">
      <c r="A16" s="45"/>
      <c r="B16" s="21"/>
      <c r="C16" s="21"/>
      <c r="D16" s="21"/>
      <c r="E16" s="21"/>
      <c r="F16" s="29"/>
      <c r="G16" s="44"/>
    </row>
    <row r="17" spans="1:9" s="6" customFormat="1" ht="15.65" customHeight="1" x14ac:dyDescent="0.25">
      <c r="A17" s="45" t="s">
        <v>29</v>
      </c>
      <c r="B17" s="21" t="s">
        <v>34</v>
      </c>
      <c r="C17" s="21"/>
      <c r="D17" s="25" t="s">
        <v>35</v>
      </c>
      <c r="E17" s="25" t="s">
        <v>27</v>
      </c>
      <c r="F17" s="25" t="s">
        <v>28</v>
      </c>
      <c r="G17" s="44"/>
    </row>
    <row r="18" spans="1:9" s="6" customFormat="1" ht="15.65" customHeight="1" x14ac:dyDescent="0.25">
      <c r="A18" s="43"/>
      <c r="B18" s="21" t="s">
        <v>36</v>
      </c>
      <c r="C18" s="21"/>
      <c r="D18" s="77"/>
      <c r="E18" s="31">
        <f>E13-D18</f>
        <v>22</v>
      </c>
      <c r="F18" s="26">
        <f>ROUND(600000*ROUND(E18,0)/22,-2)</f>
        <v>600000</v>
      </c>
      <c r="G18" s="44"/>
      <c r="H18" s="71"/>
    </row>
    <row r="19" spans="1:9" s="6" customFormat="1" ht="15.65" customHeight="1" x14ac:dyDescent="0.25">
      <c r="A19" s="43"/>
      <c r="B19" s="21" t="s">
        <v>37</v>
      </c>
      <c r="C19" s="21"/>
      <c r="D19" s="25" t="s">
        <v>38</v>
      </c>
      <c r="E19" s="25" t="s">
        <v>39</v>
      </c>
      <c r="F19" s="25" t="s">
        <v>28</v>
      </c>
      <c r="G19" s="44"/>
    </row>
    <row r="20" spans="1:9" s="6" customFormat="1" ht="15.65" customHeight="1" x14ac:dyDescent="0.25">
      <c r="A20" s="43"/>
      <c r="B20" s="27" t="s">
        <v>40</v>
      </c>
      <c r="C20" s="21"/>
      <c r="D20" s="30">
        <v>1.5</v>
      </c>
      <c r="E20" s="79"/>
      <c r="F20" s="32">
        <f t="shared" ref="F20:F24" si="0">($D$11/22/8)*D20*E20</f>
        <v>0</v>
      </c>
      <c r="G20" s="44"/>
    </row>
    <row r="21" spans="1:9" s="6" customFormat="1" ht="15.65" customHeight="1" x14ac:dyDescent="0.25">
      <c r="A21" s="43"/>
      <c r="B21" s="27" t="s">
        <v>41</v>
      </c>
      <c r="C21" s="21"/>
      <c r="D21" s="30">
        <v>2.1</v>
      </c>
      <c r="E21" s="80"/>
      <c r="F21" s="32">
        <f t="shared" si="0"/>
        <v>0</v>
      </c>
      <c r="G21" s="44"/>
      <c r="H21" s="5"/>
    </row>
    <row r="22" spans="1:9" s="6" customFormat="1" ht="15.65" customHeight="1" x14ac:dyDescent="0.25">
      <c r="A22" s="43"/>
      <c r="B22" s="27" t="s">
        <v>42</v>
      </c>
      <c r="C22" s="21"/>
      <c r="D22" s="30">
        <v>2</v>
      </c>
      <c r="E22" s="80"/>
      <c r="F22" s="32">
        <f t="shared" si="0"/>
        <v>0</v>
      </c>
      <c r="G22" s="44"/>
    </row>
    <row r="23" spans="1:9" s="6" customFormat="1" ht="15.65" customHeight="1" x14ac:dyDescent="0.25">
      <c r="A23" s="43"/>
      <c r="B23" s="27" t="s">
        <v>43</v>
      </c>
      <c r="C23" s="21"/>
      <c r="D23" s="30">
        <v>2.7</v>
      </c>
      <c r="E23" s="80"/>
      <c r="F23" s="32">
        <f t="shared" si="0"/>
        <v>0</v>
      </c>
      <c r="G23" s="44"/>
      <c r="H23" s="5"/>
    </row>
    <row r="24" spans="1:9" s="6" customFormat="1" ht="15.65" customHeight="1" x14ac:dyDescent="0.25">
      <c r="A24" s="43"/>
      <c r="B24" s="27" t="s">
        <v>44</v>
      </c>
      <c r="C24" s="21"/>
      <c r="D24" s="30">
        <v>3</v>
      </c>
      <c r="E24" s="80"/>
      <c r="F24" s="32">
        <f t="shared" si="0"/>
        <v>0</v>
      </c>
      <c r="G24" s="44"/>
    </row>
    <row r="25" spans="1:9" s="6" customFormat="1" ht="15.65" customHeight="1" x14ac:dyDescent="0.25">
      <c r="A25" s="43"/>
      <c r="B25" s="27" t="s">
        <v>45</v>
      </c>
      <c r="C25" s="21"/>
      <c r="D25" s="30">
        <v>3.9</v>
      </c>
      <c r="E25" s="80"/>
      <c r="F25" s="32">
        <f>($D$11/22/8)*D25*E25</f>
        <v>0</v>
      </c>
      <c r="G25" s="44"/>
      <c r="H25" s="5"/>
    </row>
    <row r="26" spans="1:9" s="6" customFormat="1" ht="15.65" customHeight="1" x14ac:dyDescent="0.25">
      <c r="A26" s="43"/>
      <c r="B26" s="27"/>
      <c r="C26" s="21"/>
      <c r="D26" s="21"/>
      <c r="E26" s="34"/>
      <c r="F26" s="35"/>
      <c r="G26" s="44"/>
      <c r="I26" s="70"/>
    </row>
    <row r="27" spans="1:9" s="6" customFormat="1" ht="15.65" customHeight="1" x14ac:dyDescent="0.25">
      <c r="A27" s="45" t="s">
        <v>29</v>
      </c>
      <c r="B27" s="21" t="s">
        <v>46</v>
      </c>
      <c r="C27" s="21"/>
      <c r="D27" s="21"/>
      <c r="E27" s="35"/>
      <c r="F27" s="77"/>
      <c r="G27" s="44"/>
      <c r="H27" s="5"/>
    </row>
    <row r="28" spans="1:9" s="6" customFormat="1" ht="15.65" customHeight="1" x14ac:dyDescent="0.25">
      <c r="A28" s="45"/>
      <c r="B28" s="21"/>
      <c r="C28" s="21"/>
      <c r="D28" s="21"/>
      <c r="E28" s="25" t="s">
        <v>27</v>
      </c>
      <c r="F28" s="25" t="s">
        <v>28</v>
      </c>
      <c r="G28" s="44"/>
      <c r="H28" s="5"/>
    </row>
    <row r="29" spans="1:9" s="6" customFormat="1" ht="15.65" customHeight="1" x14ac:dyDescent="0.25">
      <c r="A29" s="45" t="s">
        <v>29</v>
      </c>
      <c r="B29" s="21" t="s">
        <v>47</v>
      </c>
      <c r="C29" s="21"/>
      <c r="D29" s="21"/>
      <c r="E29" s="79"/>
      <c r="F29" s="32">
        <f>($D$11/22)*E29</f>
        <v>0</v>
      </c>
      <c r="G29" s="44"/>
      <c r="H29" s="5"/>
    </row>
    <row r="30" spans="1:9" s="6" customFormat="1" ht="15.65" customHeight="1" x14ac:dyDescent="0.25">
      <c r="A30" s="43"/>
      <c r="B30" s="21"/>
      <c r="C30" s="21"/>
      <c r="D30" s="21"/>
      <c r="E30" s="35"/>
      <c r="F30" s="35"/>
      <c r="G30" s="44"/>
    </row>
    <row r="31" spans="1:9" s="6" customFormat="1" ht="15.65" customHeight="1" x14ac:dyDescent="0.25">
      <c r="A31" s="45" t="s">
        <v>29</v>
      </c>
      <c r="B31" s="21" t="s">
        <v>48</v>
      </c>
      <c r="C31" s="21"/>
      <c r="D31" s="21"/>
      <c r="E31" s="21"/>
      <c r="F31" s="21"/>
      <c r="G31" s="44"/>
    </row>
    <row r="32" spans="1:9" s="6" customFormat="1" ht="15.65" customHeight="1" x14ac:dyDescent="0.25">
      <c r="A32" s="43"/>
      <c r="B32" s="33" t="s">
        <v>49</v>
      </c>
      <c r="C32" s="21"/>
      <c r="D32" s="21"/>
      <c r="E32" s="21"/>
      <c r="F32" s="63">
        <f>IF(($D$11+D13)&lt;(2340000*20),($D$11+D13)*8/100,(2340000*20*8%))</f>
        <v>800000</v>
      </c>
      <c r="G32" s="44"/>
    </row>
    <row r="33" spans="1:11" s="6" customFormat="1" ht="15.65" customHeight="1" x14ac:dyDescent="0.25">
      <c r="A33" s="43"/>
      <c r="B33" s="33" t="s">
        <v>50</v>
      </c>
      <c r="C33" s="21"/>
      <c r="D33" s="21"/>
      <c r="E33" s="21"/>
      <c r="F33" s="63">
        <f>IF(($D$11+D13)&lt;(2340000*20),($D$11+D13)*1.5/100,(2340000*20*1.5%))</f>
        <v>150000</v>
      </c>
      <c r="G33" s="44"/>
    </row>
    <row r="34" spans="1:11" s="6" customFormat="1" ht="15.65" customHeight="1" x14ac:dyDescent="0.25">
      <c r="A34" s="43"/>
      <c r="B34" s="33" t="s">
        <v>51</v>
      </c>
      <c r="C34" s="21"/>
      <c r="D34" s="21"/>
      <c r="E34" s="21"/>
      <c r="F34" s="63">
        <f>IF(($D$11+D13)&lt;4960000*20,($D$11+D13)*1/100,4960000*20*1%)</f>
        <v>100000</v>
      </c>
      <c r="G34" s="44"/>
      <c r="I34" s="73"/>
      <c r="K34" s="71"/>
    </row>
    <row r="35" spans="1:11" s="6" customFormat="1" ht="15.65" customHeight="1" x14ac:dyDescent="0.25">
      <c r="A35" s="43"/>
      <c r="B35" s="33" t="s">
        <v>52</v>
      </c>
      <c r="C35" s="21"/>
      <c r="D35" s="21"/>
      <c r="E35" s="21"/>
      <c r="F35" s="36">
        <f>'Tax Calculation'!X13</f>
        <v>0</v>
      </c>
      <c r="G35" s="68" t="s">
        <v>53</v>
      </c>
      <c r="H35" s="82" t="s">
        <v>54</v>
      </c>
    </row>
    <row r="36" spans="1:11" s="6" customFormat="1" ht="15.65" customHeight="1" x14ac:dyDescent="0.25">
      <c r="A36" s="43"/>
      <c r="B36" s="57" t="s">
        <v>55</v>
      </c>
      <c r="C36" s="21"/>
      <c r="D36" s="21"/>
      <c r="E36" s="21"/>
      <c r="F36" s="35">
        <f>SUM(F32:F35)</f>
        <v>1050000</v>
      </c>
      <c r="G36" s="44"/>
    </row>
    <row r="37" spans="1:11" s="6" customFormat="1" ht="15.65" customHeight="1" x14ac:dyDescent="0.25">
      <c r="A37" s="43"/>
      <c r="B37" s="33"/>
      <c r="C37" s="21"/>
      <c r="D37" s="21"/>
      <c r="E37" s="21"/>
      <c r="F37" s="35"/>
      <c r="G37" s="44"/>
    </row>
    <row r="38" spans="1:11" s="6" customFormat="1" ht="15.65" customHeight="1" x14ac:dyDescent="0.25">
      <c r="A38" s="45" t="s">
        <v>29</v>
      </c>
      <c r="B38" s="21" t="s">
        <v>56</v>
      </c>
      <c r="C38" s="21"/>
      <c r="D38" s="21"/>
      <c r="E38" s="21"/>
      <c r="F38" s="29">
        <f>F15+F18+SUM(F20:F25)+F27-F29-F36</f>
        <v>9550000</v>
      </c>
      <c r="G38" s="44"/>
    </row>
    <row r="39" spans="1:11" s="6" customFormat="1" ht="15.65" customHeight="1" x14ac:dyDescent="0.25">
      <c r="A39" s="43"/>
      <c r="B39" s="21"/>
      <c r="C39" s="21"/>
      <c r="D39" s="21"/>
      <c r="E39" s="21"/>
      <c r="F39" s="29"/>
      <c r="G39" s="44"/>
    </row>
    <row r="40" spans="1:11" s="6" customFormat="1" ht="15.65" customHeight="1" x14ac:dyDescent="0.25">
      <c r="A40" s="45" t="s">
        <v>29</v>
      </c>
      <c r="B40" s="21" t="s">
        <v>57</v>
      </c>
      <c r="C40" s="21"/>
      <c r="D40" s="21"/>
      <c r="E40" s="21"/>
      <c r="F40" s="77"/>
      <c r="G40" s="44"/>
      <c r="H40" s="69"/>
    </row>
    <row r="41" spans="1:11" s="6" customFormat="1" ht="15.65" customHeight="1" x14ac:dyDescent="0.25">
      <c r="A41" s="43"/>
      <c r="B41" s="21"/>
      <c r="C41" s="21"/>
      <c r="D41" s="21"/>
      <c r="E41" s="21"/>
      <c r="F41" s="29"/>
      <c r="G41" s="44"/>
      <c r="H41" s="69"/>
    </row>
    <row r="42" spans="1:11" s="6" customFormat="1" ht="15.65" customHeight="1" x14ac:dyDescent="0.25">
      <c r="A42" s="45" t="s">
        <v>29</v>
      </c>
      <c r="B42" s="21" t="s">
        <v>58</v>
      </c>
      <c r="C42" s="21"/>
      <c r="D42" s="21"/>
      <c r="E42" s="21"/>
      <c r="F42" s="77">
        <v>40000</v>
      </c>
      <c r="G42" s="44"/>
    </row>
    <row r="43" spans="1:11" s="6" customFormat="1" ht="15.65" customHeight="1" x14ac:dyDescent="0.25">
      <c r="A43" s="43"/>
      <c r="B43" s="37"/>
      <c r="C43" s="21"/>
      <c r="D43" s="21"/>
      <c r="E43" s="21"/>
      <c r="F43" s="29"/>
      <c r="G43" s="44"/>
    </row>
    <row r="44" spans="1:11" s="6" customFormat="1" ht="15.65" customHeight="1" x14ac:dyDescent="0.25">
      <c r="A44" s="45" t="s">
        <v>29</v>
      </c>
      <c r="B44" s="21" t="s">
        <v>59</v>
      </c>
      <c r="C44" s="21"/>
      <c r="D44" s="21"/>
      <c r="E44" s="21"/>
      <c r="F44" s="49">
        <f>ROUND(F38-F40-F42,-2)</f>
        <v>9510000</v>
      </c>
      <c r="G44" s="44"/>
      <c r="H44" s="70">
        <f>F44-F6</f>
        <v>9510000</v>
      </c>
    </row>
    <row r="45" spans="1:11" s="6" customFormat="1" ht="15.65" customHeight="1" x14ac:dyDescent="0.25">
      <c r="A45" s="43"/>
      <c r="B45" s="21"/>
      <c r="C45" s="21"/>
      <c r="D45" s="21"/>
      <c r="E45" s="21"/>
      <c r="F45" s="21"/>
      <c r="G45" s="44"/>
    </row>
    <row r="46" spans="1:11" ht="19.149999999999999" customHeight="1" thickBot="1" x14ac:dyDescent="0.3">
      <c r="A46" s="46"/>
      <c r="B46" s="47"/>
      <c r="C46" s="47"/>
      <c r="D46" s="47"/>
      <c r="E46" s="47"/>
      <c r="F46" s="47"/>
      <c r="G46" s="48"/>
    </row>
    <row r="47" spans="1:11" ht="19.149999999999999" customHeight="1" thickTop="1" x14ac:dyDescent="0.25"/>
    <row r="48" spans="1:11" ht="19.149999999999999" customHeight="1" x14ac:dyDescent="0.25">
      <c r="B48" s="62" t="s">
        <v>60</v>
      </c>
    </row>
    <row r="49" spans="1:6" ht="19.149999999999999" customHeight="1" x14ac:dyDescent="0.25">
      <c r="B49" s="62" t="s">
        <v>61</v>
      </c>
    </row>
    <row r="50" spans="1:6" ht="19.149999999999999" customHeight="1" x14ac:dyDescent="0.25">
      <c r="B50" s="1" t="s">
        <v>62</v>
      </c>
    </row>
    <row r="51" spans="1:6" ht="19.149999999999999" customHeight="1" x14ac:dyDescent="0.25">
      <c r="B51" s="1" t="s">
        <v>63</v>
      </c>
    </row>
    <row r="52" spans="1:6" ht="30" customHeight="1" x14ac:dyDescent="0.25">
      <c r="B52" s="89" t="s">
        <v>64</v>
      </c>
      <c r="C52" s="89"/>
      <c r="D52" s="89"/>
      <c r="E52" s="89"/>
      <c r="F52" s="89"/>
    </row>
    <row r="53" spans="1:6" ht="19.149999999999999" customHeight="1" x14ac:dyDescent="0.25">
      <c r="B53" s="1" t="s">
        <v>65</v>
      </c>
    </row>
    <row r="54" spans="1:6" ht="19.149999999999999" customHeight="1" x14ac:dyDescent="0.25">
      <c r="B54" s="1" t="s">
        <v>66</v>
      </c>
    </row>
    <row r="55" spans="1:6" ht="19.149999999999999" customHeight="1" x14ac:dyDescent="0.25">
      <c r="B55" s="1" t="s">
        <v>67</v>
      </c>
    </row>
    <row r="56" spans="1:6" ht="19.149999999999999" customHeight="1" x14ac:dyDescent="0.25">
      <c r="A56" s="76" t="s">
        <v>68</v>
      </c>
      <c r="B56" s="1" t="s">
        <v>69</v>
      </c>
    </row>
    <row r="57" spans="1:6" ht="19.149999999999999" customHeight="1" x14ac:dyDescent="0.25">
      <c r="A57" s="76" t="s">
        <v>70</v>
      </c>
      <c r="B57" s="90" t="s">
        <v>71</v>
      </c>
      <c r="C57" s="90"/>
      <c r="D57" s="90"/>
      <c r="E57" s="90"/>
      <c r="F57" s="90"/>
    </row>
    <row r="58" spans="1:6" ht="19.149999999999999" customHeight="1" x14ac:dyDescent="0.25">
      <c r="A58" s="76" t="s">
        <v>72</v>
      </c>
      <c r="B58" s="81" t="s">
        <v>73</v>
      </c>
    </row>
    <row r="59" spans="1:6" ht="19.149999999999999" customHeight="1" x14ac:dyDescent="0.25">
      <c r="A59" s="76" t="s">
        <v>74</v>
      </c>
      <c r="B59" s="81" t="s">
        <v>75</v>
      </c>
    </row>
    <row r="60" spans="1:6" ht="19.149999999999999" customHeight="1" x14ac:dyDescent="0.25">
      <c r="A60" s="76" t="s">
        <v>76</v>
      </c>
      <c r="B60" s="81" t="s">
        <v>77</v>
      </c>
    </row>
  </sheetData>
  <customSheetViews>
    <customSheetView guid="{1CEA91A9-EFDF-46F1-8895-1A7264D75F30}" scale="130" showGridLines="0" showRuler="0" topLeftCell="A4">
      <selection activeCell="C15" sqref="C15"/>
      <colBreaks count="1" manualBreakCount="1">
        <brk id="7" max="1048575" man="1"/>
      </colBreaks>
      <pageMargins left="0" right="0" top="0" bottom="0" header="0" footer="0"/>
      <printOptions horizontalCentered="1"/>
      <pageSetup paperSize="9" orientation="portrait" r:id="rId1"/>
      <headerFooter alignWithMargins="0"/>
    </customSheetView>
  </customSheetViews>
  <mergeCells count="4">
    <mergeCell ref="A3:G3"/>
    <mergeCell ref="A4:G4"/>
    <mergeCell ref="B52:F52"/>
    <mergeCell ref="B57:F57"/>
  </mergeCells>
  <phoneticPr fontId="2" type="noConversion"/>
  <printOptions horizontalCentered="1"/>
  <pageMargins left="0.62992125984251968" right="0.47244094488188981" top="0.55118110236220474" bottom="0.98425196850393704" header="0.39370078740157483" footer="0.51181102362204722"/>
  <pageSetup paperSize="9" orientation="portrait" r:id="rId2"/>
  <headerFooter alignWithMargins="0"/>
  <colBreaks count="1" manualBreakCount="1">
    <brk id="7" max="1048575" man="1"/>
  </colBrea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1"/>
  </sheetPr>
  <dimension ref="A1:Z18"/>
  <sheetViews>
    <sheetView showGridLines="0" topLeftCell="A9" workbookViewId="0">
      <pane xSplit="3" ySplit="4" topLeftCell="E13" activePane="bottomRight" state="frozen"/>
      <selection pane="topRight" activeCell="D9" sqref="D9"/>
      <selection pane="bottomLeft" activeCell="A13" sqref="A13"/>
      <selection pane="bottomRight" activeCell="N13" sqref="N13"/>
    </sheetView>
  </sheetViews>
  <sheetFormatPr defaultColWidth="11.453125" defaultRowHeight="15.5" x14ac:dyDescent="0.35"/>
  <cols>
    <col min="1" max="2" width="6.7265625" style="59" hidden="1" customWidth="1"/>
    <col min="3" max="3" width="26" style="59" hidden="1" customWidth="1"/>
    <col min="4" max="4" width="17.7265625" style="59" hidden="1" customWidth="1"/>
    <col min="5" max="5" width="17.54296875" style="59" bestFit="1" customWidth="1"/>
    <col min="6" max="6" width="17.54296875" style="59" customWidth="1"/>
    <col min="7" max="7" width="17.54296875" style="59" bestFit="1" customWidth="1"/>
    <col min="8" max="8" width="18.453125" style="59" bestFit="1" customWidth="1"/>
    <col min="9" max="9" width="20" style="59" customWidth="1"/>
    <col min="10" max="10" width="15.54296875" style="59" bestFit="1" customWidth="1"/>
    <col min="11" max="11" width="20" style="59" customWidth="1"/>
    <col min="12" max="12" width="15.81640625" style="59" customWidth="1"/>
    <col min="13" max="13" width="17.54296875" style="59" bestFit="1" customWidth="1"/>
    <col min="14" max="15" width="15.7265625" style="59" customWidth="1"/>
    <col min="16" max="16" width="16" style="59" customWidth="1"/>
    <col min="17" max="18" width="16.54296875" style="59" customWidth="1"/>
    <col min="19" max="19" width="17" style="59" customWidth="1"/>
    <col min="20" max="20" width="18.81640625" style="59" customWidth="1"/>
    <col min="21" max="21" width="17.54296875" style="59" bestFit="1" customWidth="1"/>
    <col min="22" max="22" width="22.26953125" style="59" customWidth="1"/>
    <col min="23" max="23" width="17.1796875" style="59" customWidth="1"/>
    <col min="24" max="24" width="18.1796875" style="59" bestFit="1" customWidth="1"/>
    <col min="25" max="25" width="11.453125" style="59" customWidth="1"/>
    <col min="26" max="26" width="6.54296875" style="59" customWidth="1"/>
    <col min="27" max="27" width="11.453125" style="59" customWidth="1"/>
    <col min="28" max="28" width="14.1796875" style="59" bestFit="1" customWidth="1"/>
    <col min="29" max="16384" width="11.453125" style="59"/>
  </cols>
  <sheetData>
    <row r="1" spans="1:26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ht="18" x14ac:dyDescent="0.4">
      <c r="A2" s="105" t="s">
        <v>78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 spans="1:26" x14ac:dyDescent="0.35">
      <c r="A3" s="106" t="s">
        <v>79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</row>
    <row r="4" spans="1:26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6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6" x14ac:dyDescent="0.35">
      <c r="A6" s="9"/>
      <c r="B6" s="9"/>
      <c r="C6" s="10" t="s">
        <v>80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6" x14ac:dyDescent="0.35">
      <c r="A7" s="9"/>
      <c r="B7" s="9"/>
      <c r="C7" s="107" t="s">
        <v>81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</row>
    <row r="8" spans="1:26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12"/>
    </row>
    <row r="9" spans="1:26" s="60" customFormat="1" ht="21.75" customHeight="1" x14ac:dyDescent="0.35">
      <c r="A9" s="91" t="s">
        <v>82</v>
      </c>
      <c r="B9" s="91" t="s">
        <v>83</v>
      </c>
      <c r="C9" s="102" t="s">
        <v>84</v>
      </c>
      <c r="D9" s="102" t="s">
        <v>85</v>
      </c>
      <c r="E9" s="95" t="s">
        <v>86</v>
      </c>
      <c r="F9" s="95"/>
      <c r="G9" s="95"/>
      <c r="H9" s="95"/>
      <c r="I9" s="95"/>
      <c r="J9" s="95"/>
      <c r="K9" s="95"/>
      <c r="L9" s="95"/>
      <c r="M9" s="109" t="s">
        <v>87</v>
      </c>
      <c r="N9" s="110"/>
      <c r="O9" s="110"/>
      <c r="P9" s="110"/>
      <c r="Q9" s="110"/>
      <c r="R9" s="110"/>
      <c r="S9" s="110"/>
      <c r="T9" s="110"/>
      <c r="U9" s="110"/>
      <c r="V9" s="111"/>
      <c r="W9" s="95" t="s">
        <v>88</v>
      </c>
      <c r="X9" s="96" t="s">
        <v>89</v>
      </c>
      <c r="Y9" s="91" t="s">
        <v>90</v>
      </c>
    </row>
    <row r="10" spans="1:26" s="60" customFormat="1" ht="18.75" customHeight="1" x14ac:dyDescent="0.35">
      <c r="A10" s="92"/>
      <c r="B10" s="92"/>
      <c r="C10" s="108"/>
      <c r="D10" s="108"/>
      <c r="E10" s="93" t="s">
        <v>91</v>
      </c>
      <c r="F10" s="102" t="s">
        <v>92</v>
      </c>
      <c r="G10" s="103"/>
      <c r="H10" s="103"/>
      <c r="I10" s="103"/>
      <c r="J10" s="103"/>
      <c r="K10" s="103"/>
      <c r="L10" s="103"/>
      <c r="M10" s="99" t="s">
        <v>91</v>
      </c>
      <c r="N10" s="104" t="s">
        <v>93</v>
      </c>
      <c r="O10" s="104" t="s">
        <v>94</v>
      </c>
      <c r="P10" s="100" t="s">
        <v>95</v>
      </c>
      <c r="Q10" s="104" t="s">
        <v>96</v>
      </c>
      <c r="R10" s="104" t="s">
        <v>97</v>
      </c>
      <c r="S10" s="104" t="s">
        <v>98</v>
      </c>
      <c r="T10" s="100" t="s">
        <v>99</v>
      </c>
      <c r="U10" s="104" t="s">
        <v>100</v>
      </c>
      <c r="V10" s="104" t="s">
        <v>101</v>
      </c>
      <c r="W10" s="95"/>
      <c r="X10" s="97"/>
      <c r="Y10" s="92"/>
    </row>
    <row r="11" spans="1:26" s="60" customFormat="1" ht="24" customHeight="1" x14ac:dyDescent="0.35">
      <c r="A11" s="92"/>
      <c r="B11" s="92"/>
      <c r="C11" s="108"/>
      <c r="D11" s="108"/>
      <c r="E11" s="94"/>
      <c r="F11" s="14" t="s">
        <v>102</v>
      </c>
      <c r="G11" s="15"/>
      <c r="H11" s="67" t="s">
        <v>103</v>
      </c>
      <c r="I11" s="13" t="s">
        <v>104</v>
      </c>
      <c r="J11" s="16" t="s">
        <v>105</v>
      </c>
      <c r="K11" s="16" t="s">
        <v>106</v>
      </c>
      <c r="L11" s="16" t="s">
        <v>107</v>
      </c>
      <c r="M11" s="99"/>
      <c r="N11" s="104"/>
      <c r="O11" s="104"/>
      <c r="P11" s="101"/>
      <c r="Q11" s="104"/>
      <c r="R11" s="104"/>
      <c r="S11" s="104"/>
      <c r="T11" s="101"/>
      <c r="U11" s="104"/>
      <c r="V11" s="104"/>
      <c r="W11" s="95"/>
      <c r="X11" s="98"/>
      <c r="Y11" s="92"/>
    </row>
    <row r="12" spans="1:26" x14ac:dyDescent="0.35">
      <c r="A12" s="17" t="s">
        <v>108</v>
      </c>
      <c r="B12" s="18"/>
      <c r="C12" s="18" t="s">
        <v>109</v>
      </c>
      <c r="D12" s="18" t="s">
        <v>110</v>
      </c>
      <c r="E12" s="18" t="s">
        <v>111</v>
      </c>
      <c r="F12" s="17" t="s">
        <v>112</v>
      </c>
      <c r="G12" s="19" t="s">
        <v>113</v>
      </c>
      <c r="H12" s="17" t="s">
        <v>114</v>
      </c>
      <c r="I12" s="17" t="s">
        <v>115</v>
      </c>
      <c r="J12" s="17"/>
      <c r="K12" s="17"/>
      <c r="L12" s="17" t="s">
        <v>116</v>
      </c>
      <c r="M12" s="17" t="s">
        <v>117</v>
      </c>
      <c r="N12" s="17"/>
      <c r="O12" s="17"/>
      <c r="P12" s="17" t="s">
        <v>118</v>
      </c>
      <c r="Q12" s="17" t="s">
        <v>119</v>
      </c>
      <c r="R12" s="17"/>
      <c r="S12" s="17" t="s">
        <v>120</v>
      </c>
      <c r="T12" s="17" t="s">
        <v>121</v>
      </c>
      <c r="U12" s="17" t="s">
        <v>122</v>
      </c>
      <c r="V12" s="17" t="s">
        <v>123</v>
      </c>
      <c r="W12" s="17" t="s">
        <v>124</v>
      </c>
      <c r="X12" s="17" t="s">
        <v>125</v>
      </c>
      <c r="Y12" s="17"/>
    </row>
    <row r="13" spans="1:26" x14ac:dyDescent="0.35">
      <c r="A13" s="50">
        <v>1</v>
      </c>
      <c r="B13" s="50"/>
      <c r="C13" s="51"/>
      <c r="D13" s="52"/>
      <c r="E13" s="53">
        <f>+SUM(F13:L13)</f>
        <v>10600000</v>
      </c>
      <c r="F13" s="51">
        <f>SUM(Payslip!F11:F13)</f>
        <v>10000000</v>
      </c>
      <c r="G13" s="51"/>
      <c r="H13" s="51">
        <f>SUM(Payslip!F6:F8)</f>
        <v>0</v>
      </c>
      <c r="I13" s="51">
        <f>Payslip!F18</f>
        <v>600000</v>
      </c>
      <c r="J13" s="51">
        <f>SUM(Payslip!F20:F25)</f>
        <v>0</v>
      </c>
      <c r="K13" s="51">
        <f>-Payslip!F29</f>
        <v>0</v>
      </c>
      <c r="L13" s="51">
        <f>Payslip!F27</f>
        <v>0</v>
      </c>
      <c r="M13" s="53">
        <f>SUM(P13:V13)</f>
        <v>16450000</v>
      </c>
      <c r="N13" s="51">
        <f>Payslip!D5</f>
        <v>1</v>
      </c>
      <c r="O13" s="54">
        <f>(Payslip!$D$11/22/8)*SUM(Payslip!E20:E25)</f>
        <v>0</v>
      </c>
      <c r="P13" s="55">
        <f>SUM(Payslip!F32:F34)</f>
        <v>1050000</v>
      </c>
      <c r="Q13" s="55">
        <f>J13-O13</f>
        <v>0</v>
      </c>
      <c r="R13" s="55"/>
      <c r="S13" s="55"/>
      <c r="T13" s="55"/>
      <c r="U13" s="51">
        <f>11000000+N13*4400000</f>
        <v>15400000</v>
      </c>
      <c r="V13" s="55"/>
      <c r="W13" s="51">
        <f>+E13-M13</f>
        <v>-5850000</v>
      </c>
      <c r="X13" s="53">
        <f>ROUND(IF(W13&gt;80000000,((W13-80000000)*0.35+18150000),IF(AND(W13&gt;52000000,W13&lt;=80000000),((W13-52000000)*0.3+9750000),IF(AND(W13&gt;32000000,W13&lt;=52000000),((W13-32000000)*0.25+4750000),IF(AND(W13&gt;18000000,W13&lt;=32000000),((W13-18000000)*0.2+1950000),IF(AND(W13&gt;10000000,W13&lt;=18000000),((W13-10000000)*0.15+750000),IF(AND(W13&gt;5000000,W13&lt;=10000000),((W13-5000000)*0.1+250000),IF(W13&lt;0,0,(W13*0.05)))))))),0)</f>
        <v>0</v>
      </c>
      <c r="Y13" s="56"/>
      <c r="Z13" s="61"/>
    </row>
    <row r="18" spans="23:23" x14ac:dyDescent="0.35">
      <c r="W18" s="72"/>
    </row>
  </sheetData>
  <customSheetViews>
    <customSheetView guid="{1CEA91A9-EFDF-46F1-8895-1A7264D75F30}" showRuler="0" topLeftCell="A9">
      <pane xSplit="3" ySplit="4" topLeftCell="D13" activePane="bottomRight" state="frozen"/>
      <selection pane="bottomRight" activeCell="D32" sqref="D32"/>
      <pageMargins left="0" right="0" top="0" bottom="0" header="0" footer="0"/>
      <printOptions horizontalCentered="1"/>
      <pageSetup paperSize="8" scale="65" orientation="landscape" r:id="rId1"/>
      <headerFooter alignWithMargins="0"/>
    </customSheetView>
  </customSheetViews>
  <mergeCells count="24">
    <mergeCell ref="A2:Y2"/>
    <mergeCell ref="A3:Y3"/>
    <mergeCell ref="C7:Y7"/>
    <mergeCell ref="A9:A11"/>
    <mergeCell ref="C9:C11"/>
    <mergeCell ref="D9:D11"/>
    <mergeCell ref="Q10:Q11"/>
    <mergeCell ref="U10:U11"/>
    <mergeCell ref="M9:V9"/>
    <mergeCell ref="T10:T11"/>
    <mergeCell ref="B9:B11"/>
    <mergeCell ref="O10:O11"/>
    <mergeCell ref="N10:N11"/>
    <mergeCell ref="W9:W11"/>
    <mergeCell ref="S10:S11"/>
    <mergeCell ref="R10:R11"/>
    <mergeCell ref="Y9:Y11"/>
    <mergeCell ref="E10:E11"/>
    <mergeCell ref="E9:L9"/>
    <mergeCell ref="X9:X11"/>
    <mergeCell ref="M10:M11"/>
    <mergeCell ref="P10:P11"/>
    <mergeCell ref="F10:L10"/>
    <mergeCell ref="V10:V11"/>
  </mergeCells>
  <phoneticPr fontId="2" type="noConversion"/>
  <printOptions horizontalCentered="1"/>
  <pageMargins left="0.16" right="0.16" top="0.17" bottom="1" header="0.16" footer="0.5"/>
  <pageSetup paperSize="8" scale="65" orientation="landscape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FE7ABE2938A34B97AA90E8831B09C3" ma:contentTypeVersion="8" ma:contentTypeDescription="Create a new document." ma:contentTypeScope="" ma:versionID="c8f4f5bff458a5229b47f38e869e3579">
  <xsd:schema xmlns:xsd="http://www.w3.org/2001/XMLSchema" xmlns:xs="http://www.w3.org/2001/XMLSchema" xmlns:p="http://schemas.microsoft.com/office/2006/metadata/properties" xmlns:ns2="cb5be05a-95ef-4705-88b9-d3ec09468520" targetNamespace="http://schemas.microsoft.com/office/2006/metadata/properties" ma:root="true" ma:fieldsID="b8f21d57df01df626ec745af52cbae70" ns2:_="">
    <xsd:import namespace="cb5be05a-95ef-4705-88b9-d3ec094685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be05a-95ef-4705-88b9-d3ec094685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9E2E2D-3A4C-41CC-A7E2-866CA663C5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1A01C4-6334-45D8-AD3F-DBCE32D288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5be05a-95ef-4705-88b9-d3ec094685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F781C2-CB0C-4B91-B905-ED443DF2DE9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 rate</vt:lpstr>
      <vt:lpstr>Payslip</vt:lpstr>
      <vt:lpstr>Tax Calculation</vt:lpstr>
    </vt:vector>
  </TitlesOfParts>
  <Manager/>
  <Company>RENESAS  DESIGN VIETNAM CO.,Ltd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 Lieu</dc:creator>
  <cp:keywords/>
  <dc:description/>
  <cp:lastModifiedBy>Hoang Nguyen</cp:lastModifiedBy>
  <cp:revision/>
  <dcterms:created xsi:type="dcterms:W3CDTF">2006-11-29T03:42:00Z</dcterms:created>
  <dcterms:modified xsi:type="dcterms:W3CDTF">2025-12-29T09:55:48Z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0x01010047FE7ABE2938A34B97AA90E8831B09C3</vt:lpwstr>
  </property>
</Properties>
</file>